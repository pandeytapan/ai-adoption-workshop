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2"/>
    <sheet name="Insights Summary" sheetId="2" state="visible" r:id="rId3"/>
    <sheet name="Data Quality Not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<sst xmlns="http://schemas.openxmlformats.org/spreadsheetml/2006/main" count="232" uniqueCount="63">
  <si>
    <t xml:space="preserve">Player</t>
  </si>
  <si>
    <t xml:space="preserve">Character</t>
  </si>
  <si>
    <t xml:space="preserve">Track</t>
  </si>
  <si>
    <t xml:space="preserve">Lap Time (s)</t>
  </si>
  <si>
    <t xml:space="preserve">Coins</t>
  </si>
  <si>
    <t xml:space="preserve">Deaths</t>
  </si>
  <si>
    <t xml:space="preserve">Powerup Used</t>
  </si>
  <si>
    <t xml:space="preserve">Session Date</t>
  </si>
  <si>
    <t xml:space="preserve">Device</t>
  </si>
  <si>
    <t xml:space="preserve">Notes</t>
  </si>
  <si>
    <t xml:space="preserve">Aarav</t>
  </si>
  <si>
    <t xml:space="preserve">Mario</t>
  </si>
  <si>
    <t xml:space="preserve">Rainbow Road</t>
  </si>
  <si>
    <t xml:space="preserve">Mushroom</t>
  </si>
  <si>
    <t xml:space="preserve">Switch</t>
  </si>
  <si>
    <t xml:space="preserve">first try</t>
  </si>
  <si>
    <t xml:space="preserve">Priya</t>
  </si>
  <si>
    <t xml:space="preserve">Luigi</t>
  </si>
  <si>
    <t xml:space="preserve">Star</t>
  </si>
  <si>
    <t xml:space="preserve">controller lag?</t>
  </si>
  <si>
    <t xml:space="preserve">Rohan</t>
  </si>
  <si>
    <t xml:space="preserve">Peach</t>
  </si>
  <si>
    <t xml:space="preserve">Bowser Castle</t>
  </si>
  <si>
    <t xml:space="preserve">Shell</t>
  </si>
  <si>
    <t xml:space="preserve">Pc</t>
  </si>
  <si>
    <t xml:space="preserve">tough level</t>
  </si>
  <si>
    <t xml:space="preserve">Sara</t>
  </si>
  <si>
    <t xml:space="preserve">Yoshi</t>
  </si>
  <si>
    <t xml:space="preserve">Moo Moo Meadows</t>
  </si>
  <si>
    <t xml:space="preserve">Banana</t>
  </si>
  <si>
    <t xml:space="preserve">clean run</t>
  </si>
  <si>
    <t xml:space="preserve">Kabir</t>
  </si>
  <si>
    <t xml:space="preserve">Bowser</t>
  </si>
  <si>
    <t xml:space="preserve">Mobile</t>
  </si>
  <si>
    <t xml:space="preserve">laggy wifi</t>
  </si>
  <si>
    <t xml:space="preserve">struggled here</t>
  </si>
  <si>
    <t xml:space="preserve">best run yet</t>
  </si>
  <si>
    <t xml:space="preserve">Meera</t>
  </si>
  <si>
    <t xml:space="preserve">Toad</t>
  </si>
  <si>
    <t xml:space="preserve">nice recovery</t>
  </si>
  <si>
    <t xml:space="preserve">phone overheated</t>
  </si>
  <si>
    <t xml:space="preserve">personal best</t>
  </si>
  <si>
    <t xml:space="preserve">rough one</t>
  </si>
  <si>
    <t xml:space="preserve">close finish</t>
  </si>
  <si>
    <t xml:space="preserve">great lap</t>
  </si>
  <si>
    <t xml:space="preserve">gave up halfway</t>
  </si>
  <si>
    <t xml:space="preserve">smooth ride</t>
  </si>
  <si>
    <t xml:space="preserve">Mario Game Session Log — Insights Summary</t>
  </si>
  <si>
    <t xml:space="preserve">Average lap time &amp; deaths by track</t>
  </si>
  <si>
    <t xml:space="preserve">Sessions</t>
  </si>
  <si>
    <t xml:space="preserve">Avg Lap Time (s)</t>
  </si>
  <si>
    <t xml:space="preserve">Avg Deaths</t>
  </si>
  <si>
    <t xml:space="preserve">Character performance</t>
  </si>
  <si>
    <t xml:space="preserve">Total Coins</t>
  </si>
  <si>
    <t xml:space="preserve">Data quality issues found in the raw CSV</t>
  </si>
  <si>
    <t xml:space="preserve">1. Inconsistent capitalization in player and character names (e.g. 'Mario', 'mario', 'MARIO').</t>
  </si>
  <si>
    <t xml:space="preserve">2. Leading/trailing whitespace in some player names (e.g. ' Rohan').</t>
  </si>
  <si>
    <t xml:space="preserve">3. Three different spellings for the same track ('Rainbow Road', 'Rainbow Rd', 'Rainbow raod').</t>
  </si>
  <si>
    <t xml:space="preserve">4. Lap times mixed between plain seconds ('78.4') and mm:ss.s format ('1:16.9').</t>
  </si>
  <si>
    <t xml:space="preserve">5. Session dates in three different formats (YYYY-MM-DD, M/D/YYYY, DD-MM-YYYY).</t>
  </si>
  <si>
    <t xml:space="preserve">6. Missing values in Coins, Deaths, and Powerup Used columns for several rows.</t>
  </si>
  <si>
    <t xml:space="preserve">7. One exact duplicate row (Rohan / Peach / Bowser Castle / 2026-04-01) removed during cleaning.</t>
  </si>
  <si>
    <t xml:space="preserve">8. Device names inconsistently capitalized ('switch' vs 'Switch').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</si>
</sst>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6FEB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F6FE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1"/>
        <c:ser>
          <c:idx val="0"/>
          <c:order val="0"/>
          <c:tx>
            <c:strRef>
              <c:f>'Insights Summary'!C5</c:f>
              <c:strCache>
                <c:ptCount val="1"/>
                <c:pt idx="0">
                  <c:v>Avg Lap Time (s)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Pt>
            <c:idx val="0"/>
            <c:spPr>
              <a:solidFill>
                <a:srgbClr val="4f81bd"/>
              </a:solidFill>
              <a:ln>
                <a:noFill/>
              </a:ln>
            </c:spPr>
          </c:dPt>
          <c:dPt>
            <c:idx val="1"/>
            <c:spPr>
              <a:solidFill>
                <a:srgbClr val="c0504d"/>
              </a:solidFill>
              <a:ln>
                <a:noFill/>
              </a:ln>
            </c:spPr>
          </c:dPt>
          <c:dPt>
            <c:idx val="2"/>
            <c:spPr>
              <a:solidFill>
                <a:srgbClr val="9bbb59"/>
              </a:solidFill>
              <a:ln>
                <a:noFill/>
              </a:ln>
            </c:spPr>
          </c:dPt>
          <c:dLbls>
            <c:dLbl>
              <c:idx val="0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'Insights Summary'!$C$6:$C$8</c:f>
              <c:numCache>
                <c:formatCode>General</c:formatCode>
                <c:ptCount val="3"/>
                <c:pt idx="0">
                  <c:v>80.3</c:v>
                </c:pt>
                <c:pt idx="1">
                  <c:v>99.2</c:v>
                </c:pt>
                <c:pt idx="2">
                  <c:v>61.5</c:v>
                </c:pt>
              </c:numCache>
            </c:numRef>
          </c:val>
        </c:ser>
        <c:gapWidth val="150"/>
        <c:overlap val="0"/>
        <c:axId val="16429535"/>
        <c:axId val="42848995"/>
      </c:barChart>
      <c:catAx>
        <c:axId val="16429535"/>
        <c:scaling>
          <c:orientation val="minMax"/>
        </c:scaling>
        <c:delete val="1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Track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48995"/>
        <c:auto val="1"/>
        <c:lblAlgn val="ctr"/>
        <c:lblOffset val="100"/>
        <c:noMultiLvlLbl val="0"/>
      </c:catAx>
      <c:valAx>
        <c:axId val="42848995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29535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11</xdr:col>
      <xdr:colOff>486720</xdr:colOff>
      <xdr:row>17</xdr:row>
      <xdr:rowOff>43200</xdr:rowOff>
    </xdr:to>
    <xdr:graphicFrame>
      <xdr:nvGraphicFramePr>
        <xdr:cNvPr id="0" name="Chart 1"/>
        <xdr:cNvGraphicFramePr/>
      </xdr:nvGraphicFramePr>
      <xdr:xfrm>
        <a:off x="7873200" y="7617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9" min="1" style="0" width="16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n">
        <v>78.4</v>
      </c>
      <c r="E2" s="2" t="n">
        <v>42</v>
      </c>
      <c r="F2" s="2" t="n">
        <v>1</v>
      </c>
      <c r="G2" s="2" t="s">
        <v>13</v>
      </c>
      <c r="H2" s="3" t="n">
        <v>46113</v>
      </c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n">
        <v>76.9</v>
      </c>
      <c r="E3" s="2" t="n">
        <v>45</v>
      </c>
      <c r="F3" s="2" t="n">
        <v>0</v>
      </c>
      <c r="G3" s="2" t="s">
        <v>13</v>
      </c>
      <c r="H3" s="3" t="n">
        <v>46114</v>
      </c>
      <c r="I3" s="2" t="s">
        <v>14</v>
      </c>
      <c r="J3" s="2"/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12</v>
      </c>
      <c r="D4" s="2" t="n">
        <v>82.1</v>
      </c>
      <c r="E4" s="2" t="n">
        <v>38</v>
      </c>
      <c r="F4" s="2" t="n">
        <v>2</v>
      </c>
      <c r="G4" s="2" t="s">
        <v>18</v>
      </c>
      <c r="H4" s="3" t="n">
        <v>46114</v>
      </c>
      <c r="I4" s="2" t="s">
        <v>14</v>
      </c>
      <c r="J4" s="2"/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12</v>
      </c>
      <c r="D5" s="2" t="n">
        <v>80</v>
      </c>
      <c r="E5" s="2"/>
      <c r="F5" s="2" t="n">
        <v>1</v>
      </c>
      <c r="G5" s="2" t="s">
        <v>18</v>
      </c>
      <c r="H5" s="3" t="n">
        <v>46114</v>
      </c>
      <c r="I5" s="2" t="s">
        <v>14</v>
      </c>
      <c r="J5" s="2" t="s">
        <v>19</v>
      </c>
    </row>
    <row r="6" customFormat="false" ht="15" hidden="false" customHeight="false" outlineLevel="0" collapsed="false">
      <c r="A6" s="2" t="s">
        <v>20</v>
      </c>
      <c r="B6" s="2" t="s">
        <v>21</v>
      </c>
      <c r="C6" s="2" t="s">
        <v>22</v>
      </c>
      <c r="D6" s="2" t="n">
        <v>95.6</v>
      </c>
      <c r="E6" s="2" t="n">
        <v>29</v>
      </c>
      <c r="F6" s="2" t="n">
        <v>4</v>
      </c>
      <c r="G6" s="2" t="s">
        <v>23</v>
      </c>
      <c r="H6" s="3" t="n">
        <v>46113</v>
      </c>
      <c r="I6" s="2" t="s">
        <v>24</v>
      </c>
      <c r="J6" s="2" t="s">
        <v>25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22</v>
      </c>
      <c r="D7" s="2" t="n">
        <v>91.2</v>
      </c>
      <c r="E7" s="2" t="n">
        <v>33</v>
      </c>
      <c r="F7" s="2" t="n">
        <v>3</v>
      </c>
      <c r="G7" s="2" t="s">
        <v>23</v>
      </c>
      <c r="H7" s="3" t="n">
        <v>46113</v>
      </c>
      <c r="I7" s="2" t="s">
        <v>24</v>
      </c>
      <c r="J7" s="2"/>
    </row>
    <row r="8" customFormat="false" ht="15" hidden="false" customHeight="false" outlineLevel="0" collapsed="false">
      <c r="A8" s="2" t="s">
        <v>26</v>
      </c>
      <c r="B8" s="2" t="s">
        <v>27</v>
      </c>
      <c r="C8" s="2" t="s">
        <v>28</v>
      </c>
      <c r="D8" s="2" t="n">
        <v>61.3</v>
      </c>
      <c r="E8" s="2" t="n">
        <v>50</v>
      </c>
      <c r="F8" s="2" t="n">
        <v>0</v>
      </c>
      <c r="G8" s="2" t="s">
        <v>29</v>
      </c>
      <c r="H8" s="3" t="n">
        <v>46115</v>
      </c>
      <c r="I8" s="2" t="s">
        <v>14</v>
      </c>
      <c r="J8" s="2" t="s">
        <v>30</v>
      </c>
    </row>
    <row r="9" customFormat="false" ht="15" hidden="false" customHeight="false" outlineLevel="0" collapsed="false">
      <c r="A9" s="2" t="s">
        <v>26</v>
      </c>
      <c r="B9" s="2" t="s">
        <v>27</v>
      </c>
      <c r="C9" s="2" t="s">
        <v>28</v>
      </c>
      <c r="D9" s="2" t="n">
        <v>59.8</v>
      </c>
      <c r="E9" s="2" t="n">
        <v>55</v>
      </c>
      <c r="F9" s="2" t="n">
        <v>0</v>
      </c>
      <c r="G9" s="2" t="s">
        <v>29</v>
      </c>
      <c r="H9" s="3" t="n">
        <v>46115</v>
      </c>
      <c r="I9" s="2" t="s">
        <v>14</v>
      </c>
      <c r="J9" s="2"/>
    </row>
    <row r="10" customFormat="false" ht="15" hidden="false" customHeight="false" outlineLevel="0" collapsed="false">
      <c r="A10" s="2" t="s">
        <v>31</v>
      </c>
      <c r="B10" s="2" t="s">
        <v>32</v>
      </c>
      <c r="C10" s="2" t="s">
        <v>28</v>
      </c>
      <c r="D10" s="2" t="n">
        <v>68.9</v>
      </c>
      <c r="E10" s="2" t="n">
        <v>31</v>
      </c>
      <c r="F10" s="2" t="n">
        <v>1</v>
      </c>
      <c r="G10" s="2"/>
      <c r="H10" s="3" t="n">
        <v>46115</v>
      </c>
      <c r="I10" s="2" t="s">
        <v>33</v>
      </c>
      <c r="J10" s="2"/>
    </row>
    <row r="11" customFormat="false" ht="15" hidden="false" customHeight="false" outlineLevel="0" collapsed="false">
      <c r="A11" s="2" t="s">
        <v>31</v>
      </c>
      <c r="B11" s="2" t="s">
        <v>32</v>
      </c>
      <c r="C11" s="2" t="s">
        <v>28</v>
      </c>
      <c r="D11" s="2" t="n">
        <v>70.2</v>
      </c>
      <c r="E11" s="2"/>
      <c r="F11" s="2" t="n">
        <v>2</v>
      </c>
      <c r="G11" s="2" t="s">
        <v>23</v>
      </c>
      <c r="H11" s="3" t="n">
        <v>46115</v>
      </c>
      <c r="I11" s="2" t="s">
        <v>33</v>
      </c>
      <c r="J11" s="2" t="s">
        <v>34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22</v>
      </c>
      <c r="D12" s="2" t="n">
        <v>102.5</v>
      </c>
      <c r="E12" s="2" t="n">
        <v>22</v>
      </c>
      <c r="F12" s="2" t="n">
        <v>5</v>
      </c>
      <c r="G12" s="2" t="s">
        <v>18</v>
      </c>
      <c r="H12" s="3" t="n">
        <v>46116</v>
      </c>
      <c r="I12" s="2" t="s">
        <v>14</v>
      </c>
      <c r="J12" s="2" t="s">
        <v>35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22</v>
      </c>
      <c r="D13" s="2" t="n">
        <v>98</v>
      </c>
      <c r="E13" s="2" t="n">
        <v>27</v>
      </c>
      <c r="F13" s="2" t="n">
        <v>4</v>
      </c>
      <c r="G13" s="2" t="s">
        <v>18</v>
      </c>
      <c r="H13" s="3" t="n">
        <v>46116</v>
      </c>
      <c r="I13" s="2" t="s">
        <v>14</v>
      </c>
      <c r="J13" s="2"/>
    </row>
    <row r="14" customFormat="false" ht="15" hidden="false" customHeight="false" outlineLevel="0" collapsed="false">
      <c r="A14" s="2" t="s">
        <v>16</v>
      </c>
      <c r="B14" s="2" t="s">
        <v>17</v>
      </c>
      <c r="C14" s="2" t="s">
        <v>28</v>
      </c>
      <c r="D14" s="2" t="n">
        <v>58.2</v>
      </c>
      <c r="E14" s="2" t="n">
        <v>48</v>
      </c>
      <c r="F14" s="2" t="n">
        <v>0</v>
      </c>
      <c r="G14" s="2" t="s">
        <v>29</v>
      </c>
      <c r="H14" s="3" t="n">
        <v>46116</v>
      </c>
      <c r="I14" s="2" t="s">
        <v>14</v>
      </c>
      <c r="J14" s="2"/>
    </row>
    <row r="15" customFormat="false" ht="15" hidden="false" customHeight="false" outlineLevel="0" collapsed="false">
      <c r="A15" s="2" t="s">
        <v>16</v>
      </c>
      <c r="B15" s="2" t="s">
        <v>17</v>
      </c>
      <c r="C15" s="2" t="s">
        <v>28</v>
      </c>
      <c r="D15" s="2" t="n">
        <v>57.9</v>
      </c>
      <c r="E15" s="2" t="n">
        <v>50</v>
      </c>
      <c r="F15" s="2" t="n">
        <v>0</v>
      </c>
      <c r="G15" s="2" t="s">
        <v>29</v>
      </c>
      <c r="H15" s="3" t="n">
        <v>46116</v>
      </c>
      <c r="I15" s="2" t="s">
        <v>14</v>
      </c>
      <c r="J15" s="2" t="s">
        <v>36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12</v>
      </c>
      <c r="D16" s="2" t="n">
        <v>85.7</v>
      </c>
      <c r="E16" s="2" t="n">
        <v>36</v>
      </c>
      <c r="F16" s="2" t="n">
        <v>2</v>
      </c>
      <c r="G16" s="2" t="s">
        <v>13</v>
      </c>
      <c r="H16" s="3" t="n">
        <v>46117</v>
      </c>
      <c r="I16" s="2" t="s">
        <v>24</v>
      </c>
      <c r="J16" s="2"/>
    </row>
    <row r="17" customFormat="false" ht="15" hidden="false" customHeight="false" outlineLevel="0" collapsed="false">
      <c r="A17" s="2" t="s">
        <v>37</v>
      </c>
      <c r="B17" s="2" t="s">
        <v>38</v>
      </c>
      <c r="C17" s="2" t="s">
        <v>12</v>
      </c>
      <c r="D17" s="2" t="n">
        <v>83.1</v>
      </c>
      <c r="E17" s="2" t="n">
        <v>40</v>
      </c>
      <c r="F17" s="2" t="n">
        <v>1</v>
      </c>
      <c r="G17" s="2" t="s">
        <v>13</v>
      </c>
      <c r="H17" s="3" t="n">
        <v>46146</v>
      </c>
      <c r="I17" s="2" t="s">
        <v>24</v>
      </c>
      <c r="J17" s="2"/>
    </row>
    <row r="18" customFormat="false" ht="15" hidden="false" customHeight="false" outlineLevel="0" collapsed="false">
      <c r="A18" s="2" t="s">
        <v>20</v>
      </c>
      <c r="B18" s="2" t="s">
        <v>21</v>
      </c>
      <c r="C18" s="2" t="s">
        <v>28</v>
      </c>
      <c r="D18" s="2" t="n">
        <v>63.4</v>
      </c>
      <c r="E18" s="2" t="n">
        <v>44</v>
      </c>
      <c r="F18" s="2" t="n">
        <v>1</v>
      </c>
      <c r="G18" s="2" t="s">
        <v>29</v>
      </c>
      <c r="H18" s="3" t="n">
        <v>46117</v>
      </c>
      <c r="I18" s="2" t="s">
        <v>24</v>
      </c>
      <c r="J18" s="2"/>
    </row>
    <row r="19" customFormat="false" ht="15" hidden="false" customHeight="false" outlineLevel="0" collapsed="false">
      <c r="A19" s="2" t="s">
        <v>20</v>
      </c>
      <c r="B19" s="2" t="s">
        <v>21</v>
      </c>
      <c r="C19" s="2" t="s">
        <v>28</v>
      </c>
      <c r="D19" s="2" t="n">
        <v>62</v>
      </c>
      <c r="E19" s="2" t="n">
        <v>46</v>
      </c>
      <c r="F19" s="2" t="n">
        <v>0</v>
      </c>
      <c r="G19" s="2" t="s">
        <v>29</v>
      </c>
      <c r="H19" s="3" t="n">
        <v>46117</v>
      </c>
      <c r="I19" s="2" t="s">
        <v>24</v>
      </c>
      <c r="J19" s="2" t="s">
        <v>39</v>
      </c>
    </row>
    <row r="20" customFormat="false" ht="15" hidden="false" customHeight="false" outlineLevel="0" collapsed="false">
      <c r="A20" s="2" t="s">
        <v>26</v>
      </c>
      <c r="B20" s="2" t="s">
        <v>27</v>
      </c>
      <c r="C20" s="2" t="s">
        <v>22</v>
      </c>
      <c r="D20" s="2" t="n">
        <v>99.1</v>
      </c>
      <c r="E20" s="2" t="n">
        <v>25</v>
      </c>
      <c r="F20" s="2" t="n">
        <v>3</v>
      </c>
      <c r="G20" s="2" t="s">
        <v>23</v>
      </c>
      <c r="H20" s="3" t="n">
        <v>46118</v>
      </c>
      <c r="I20" s="2" t="s">
        <v>14</v>
      </c>
      <c r="J20" s="2"/>
    </row>
    <row r="21" customFormat="false" ht="15" hidden="false" customHeight="false" outlineLevel="0" collapsed="false">
      <c r="A21" s="2" t="s">
        <v>26</v>
      </c>
      <c r="B21" s="2" t="s">
        <v>27</v>
      </c>
      <c r="C21" s="2" t="s">
        <v>22</v>
      </c>
      <c r="D21" s="2" t="n">
        <v>96.5</v>
      </c>
      <c r="E21" s="2" t="n">
        <v>28</v>
      </c>
      <c r="F21" s="2" t="n">
        <v>3</v>
      </c>
      <c r="G21" s="2" t="s">
        <v>23</v>
      </c>
      <c r="H21" s="3" t="n">
        <v>46118</v>
      </c>
      <c r="I21" s="2" t="s">
        <v>14</v>
      </c>
      <c r="J21" s="2"/>
    </row>
    <row r="22" customFormat="false" ht="15" hidden="false" customHeight="false" outlineLevel="0" collapsed="false">
      <c r="A22" s="2" t="s">
        <v>31</v>
      </c>
      <c r="B22" s="2" t="s">
        <v>32</v>
      </c>
      <c r="C22" s="2" t="s">
        <v>12</v>
      </c>
      <c r="D22" s="2" t="n">
        <v>88.3</v>
      </c>
      <c r="E22" s="2" t="n">
        <v>33</v>
      </c>
      <c r="F22" s="2" t="n">
        <v>2</v>
      </c>
      <c r="G22" s="2" t="s">
        <v>18</v>
      </c>
      <c r="H22" s="3" t="n">
        <v>46118</v>
      </c>
      <c r="I22" s="2" t="s">
        <v>33</v>
      </c>
      <c r="J22" s="2"/>
    </row>
    <row r="23" customFormat="false" ht="15" hidden="false" customHeight="false" outlineLevel="0" collapsed="false">
      <c r="A23" s="2" t="s">
        <v>31</v>
      </c>
      <c r="B23" s="2" t="s">
        <v>32</v>
      </c>
      <c r="C23" s="2" t="s">
        <v>12</v>
      </c>
      <c r="D23" s="2" t="n">
        <v>85</v>
      </c>
      <c r="E23" s="2" t="n">
        <v>35</v>
      </c>
      <c r="F23" s="2" t="n">
        <v>2</v>
      </c>
      <c r="G23" s="2" t="s">
        <v>18</v>
      </c>
      <c r="H23" s="3" t="n">
        <v>46118</v>
      </c>
      <c r="I23" s="2" t="s">
        <v>33</v>
      </c>
      <c r="J23" s="2" t="s">
        <v>40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28</v>
      </c>
      <c r="D24" s="2" t="n">
        <v>55.6</v>
      </c>
      <c r="E24" s="2" t="n">
        <v>52</v>
      </c>
      <c r="F24" s="2" t="n">
        <v>0</v>
      </c>
      <c r="G24" s="2" t="s">
        <v>29</v>
      </c>
      <c r="H24" s="3" t="n">
        <v>46119</v>
      </c>
      <c r="I24" s="2" t="s">
        <v>14</v>
      </c>
      <c r="J24" s="2" t="s">
        <v>41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28</v>
      </c>
      <c r="D25" s="2"/>
      <c r="E25" s="2" t="n">
        <v>50</v>
      </c>
      <c r="F25" s="2" t="n">
        <v>0</v>
      </c>
      <c r="G25" s="2" t="s">
        <v>29</v>
      </c>
      <c r="H25" s="3" t="n">
        <v>46119</v>
      </c>
      <c r="I25" s="2" t="s">
        <v>14</v>
      </c>
      <c r="J25" s="2"/>
    </row>
    <row r="26" customFormat="false" ht="15" hidden="false" customHeight="false" outlineLevel="0" collapsed="false">
      <c r="A26" s="2" t="s">
        <v>37</v>
      </c>
      <c r="B26" s="2" t="s">
        <v>38</v>
      </c>
      <c r="C26" s="2" t="s">
        <v>22</v>
      </c>
      <c r="D26" s="2" t="n">
        <v>105.2</v>
      </c>
      <c r="E26" s="2" t="n">
        <v>20</v>
      </c>
      <c r="F26" s="2" t="n">
        <v>5</v>
      </c>
      <c r="G26" s="2" t="s">
        <v>23</v>
      </c>
      <c r="H26" s="3" t="n">
        <v>46119</v>
      </c>
      <c r="I26" s="2" t="s">
        <v>24</v>
      </c>
      <c r="J26" s="2" t="s">
        <v>42</v>
      </c>
    </row>
    <row r="27" customFormat="false" ht="15" hidden="false" customHeight="false" outlineLevel="0" collapsed="false">
      <c r="A27" s="2" t="s">
        <v>37</v>
      </c>
      <c r="B27" s="2" t="s">
        <v>38</v>
      </c>
      <c r="C27" s="2" t="s">
        <v>22</v>
      </c>
      <c r="D27" s="2" t="n">
        <v>100.8</v>
      </c>
      <c r="E27" s="2" t="n">
        <v>24</v>
      </c>
      <c r="F27" s="2" t="n">
        <v>4</v>
      </c>
      <c r="G27" s="2" t="s">
        <v>23</v>
      </c>
      <c r="H27" s="3" t="n">
        <v>46119</v>
      </c>
      <c r="I27" s="2" t="s">
        <v>24</v>
      </c>
      <c r="J27" s="2"/>
    </row>
    <row r="28" customFormat="false" ht="15" hidden="false" customHeight="false" outlineLevel="0" collapsed="false">
      <c r="A28" s="2" t="s">
        <v>16</v>
      </c>
      <c r="B28" s="2" t="s">
        <v>17</v>
      </c>
      <c r="C28" s="2" t="s">
        <v>22</v>
      </c>
      <c r="D28" s="2" t="n">
        <v>93.4</v>
      </c>
      <c r="E28" s="2" t="n">
        <v>30</v>
      </c>
      <c r="F28" s="2" t="n">
        <v>3</v>
      </c>
      <c r="G28" s="2" t="s">
        <v>18</v>
      </c>
      <c r="H28" s="3" t="n">
        <v>46120</v>
      </c>
      <c r="I28" s="2" t="s">
        <v>14</v>
      </c>
      <c r="J28" s="2"/>
    </row>
    <row r="29" customFormat="false" ht="15" hidden="false" customHeight="false" outlineLevel="0" collapsed="false">
      <c r="A29" s="2" t="s">
        <v>16</v>
      </c>
      <c r="B29" s="2" t="s">
        <v>17</v>
      </c>
      <c r="C29" s="2" t="s">
        <v>22</v>
      </c>
      <c r="D29" s="2" t="n">
        <v>90.1</v>
      </c>
      <c r="E29" s="2" t="n">
        <v>32</v>
      </c>
      <c r="F29" s="2" t="n">
        <v>2</v>
      </c>
      <c r="G29" s="2" t="s">
        <v>18</v>
      </c>
      <c r="H29" s="3" t="n">
        <v>46120</v>
      </c>
      <c r="I29" s="2" t="s">
        <v>14</v>
      </c>
      <c r="J29" s="2"/>
    </row>
    <row r="30" customFormat="false" ht="15" hidden="false" customHeight="false" outlineLevel="0" collapsed="false">
      <c r="A30" s="2" t="s">
        <v>20</v>
      </c>
      <c r="B30" s="2" t="s">
        <v>21</v>
      </c>
      <c r="C30" s="2" t="s">
        <v>12</v>
      </c>
      <c r="D30" s="2" t="n">
        <v>79.9</v>
      </c>
      <c r="E30" s="2" t="n">
        <v>41</v>
      </c>
      <c r="F30" s="2" t="n">
        <v>1</v>
      </c>
      <c r="G30" s="2" t="s">
        <v>13</v>
      </c>
      <c r="H30" s="3" t="n">
        <v>46120</v>
      </c>
      <c r="I30" s="2" t="s">
        <v>24</v>
      </c>
      <c r="J30" s="2"/>
    </row>
    <row r="31" customFormat="false" ht="15" hidden="false" customHeight="false" outlineLevel="0" collapsed="false">
      <c r="A31" s="2" t="s">
        <v>20</v>
      </c>
      <c r="B31" s="2" t="s">
        <v>21</v>
      </c>
      <c r="C31" s="2" t="s">
        <v>12</v>
      </c>
      <c r="D31" s="2" t="n">
        <v>77.2</v>
      </c>
      <c r="E31" s="2" t="n">
        <v>43</v>
      </c>
      <c r="F31" s="2" t="n">
        <v>1</v>
      </c>
      <c r="G31" s="2" t="s">
        <v>13</v>
      </c>
      <c r="H31" s="3" t="n">
        <v>46120</v>
      </c>
      <c r="I31" s="2" t="s">
        <v>24</v>
      </c>
      <c r="J31" s="2" t="s">
        <v>43</v>
      </c>
    </row>
    <row r="32" customFormat="false" ht="15" hidden="false" customHeight="false" outlineLevel="0" collapsed="false">
      <c r="A32" s="2" t="s">
        <v>26</v>
      </c>
      <c r="B32" s="2" t="s">
        <v>27</v>
      </c>
      <c r="C32" s="2" t="s">
        <v>12</v>
      </c>
      <c r="D32" s="2" t="n">
        <v>74.5</v>
      </c>
      <c r="E32" s="2" t="n">
        <v>47</v>
      </c>
      <c r="F32" s="2" t="n">
        <v>0</v>
      </c>
      <c r="G32" s="2" t="s">
        <v>13</v>
      </c>
      <c r="H32" s="3" t="n">
        <v>46121</v>
      </c>
      <c r="I32" s="2" t="s">
        <v>14</v>
      </c>
      <c r="J32" s="2"/>
    </row>
    <row r="33" customFormat="false" ht="15" hidden="false" customHeight="false" outlineLevel="0" collapsed="false">
      <c r="A33" s="2" t="s">
        <v>26</v>
      </c>
      <c r="B33" s="2" t="s">
        <v>27</v>
      </c>
      <c r="C33" s="2" t="s">
        <v>12</v>
      </c>
      <c r="D33" s="2" t="n">
        <v>72</v>
      </c>
      <c r="E33" s="2" t="n">
        <v>49</v>
      </c>
      <c r="F33" s="2" t="n">
        <v>0</v>
      </c>
      <c r="G33" s="2" t="s">
        <v>13</v>
      </c>
      <c r="H33" s="3" t="n">
        <v>46121</v>
      </c>
      <c r="I33" s="2" t="s">
        <v>14</v>
      </c>
      <c r="J33" s="2" t="s">
        <v>44</v>
      </c>
    </row>
    <row r="34" customFormat="false" ht="15" hidden="false" customHeight="false" outlineLevel="0" collapsed="false">
      <c r="A34" s="2" t="s">
        <v>31</v>
      </c>
      <c r="B34" s="2" t="s">
        <v>32</v>
      </c>
      <c r="C34" s="2" t="s">
        <v>22</v>
      </c>
      <c r="D34" s="2" t="n">
        <v>110.4</v>
      </c>
      <c r="E34" s="2" t="n">
        <v>18</v>
      </c>
      <c r="F34" s="2" t="n">
        <v>6</v>
      </c>
      <c r="G34" s="2"/>
      <c r="H34" s="3" t="n">
        <v>46121</v>
      </c>
      <c r="I34" s="2" t="s">
        <v>33</v>
      </c>
      <c r="J34" s="2" t="s">
        <v>45</v>
      </c>
    </row>
    <row r="35" customFormat="false" ht="15" hidden="false" customHeight="false" outlineLevel="0" collapsed="false">
      <c r="A35" s="2" t="s">
        <v>31</v>
      </c>
      <c r="B35" s="2" t="s">
        <v>32</v>
      </c>
      <c r="C35" s="2" t="s">
        <v>22</v>
      </c>
      <c r="D35" s="2" t="n">
        <v>108</v>
      </c>
      <c r="E35" s="2" t="n">
        <v>19</v>
      </c>
      <c r="F35" s="2" t="n">
        <v>5</v>
      </c>
      <c r="G35" s="2" t="s">
        <v>23</v>
      </c>
      <c r="H35" s="3" t="n">
        <v>46121</v>
      </c>
      <c r="I35" s="2" t="s">
        <v>33</v>
      </c>
      <c r="J35" s="2"/>
    </row>
    <row r="36" customFormat="false" ht="15" hidden="false" customHeight="false" outlineLevel="0" collapsed="false">
      <c r="A36" s="2" t="s">
        <v>37</v>
      </c>
      <c r="B36" s="2" t="s">
        <v>38</v>
      </c>
      <c r="C36" s="2" t="s">
        <v>28</v>
      </c>
      <c r="D36" s="2" t="n">
        <v>60.7</v>
      </c>
      <c r="E36" s="2" t="n">
        <v>45</v>
      </c>
      <c r="F36" s="2" t="n">
        <v>1</v>
      </c>
      <c r="G36" s="2" t="s">
        <v>29</v>
      </c>
      <c r="H36" s="3" t="n">
        <v>46122</v>
      </c>
      <c r="I36" s="2" t="s">
        <v>24</v>
      </c>
      <c r="J36" s="2"/>
    </row>
    <row r="37" customFormat="false" ht="15" hidden="false" customHeight="false" outlineLevel="0" collapsed="false">
      <c r="A37" s="2" t="s">
        <v>37</v>
      </c>
      <c r="B37" s="2" t="s">
        <v>38</v>
      </c>
      <c r="C37" s="2" t="s">
        <v>28</v>
      </c>
      <c r="D37" s="2" t="n">
        <v>58.9</v>
      </c>
      <c r="E37" s="2" t="n">
        <v>47</v>
      </c>
      <c r="F37" s="2" t="n">
        <v>0</v>
      </c>
      <c r="G37" s="2" t="s">
        <v>29</v>
      </c>
      <c r="H37" s="3" t="n">
        <v>46122</v>
      </c>
      <c r="I37" s="2" t="s">
        <v>24</v>
      </c>
      <c r="J37" s="2" t="s">
        <v>46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0"/>
  </cols>
  <sheetData>
    <row r="1" customFormat="false" ht="15" hidden="false" customHeight="false" outlineLevel="0" collapsed="false">
      <c r="A1" s="4" t="s">
        <v>47</v>
      </c>
      <c r="B1" s="4"/>
      <c r="C1" s="4"/>
      <c r="D1" s="4"/>
    </row>
    <row r="3" customFormat="false" ht="15" hidden="false" customHeight="false" outlineLevel="0" collapsed="false">
      <c r="A3" s="5" t="s">
        <v>48</v>
      </c>
    </row>
    <row r="5" customFormat="false" ht="15" hidden="false" customHeight="false" outlineLevel="0" collapsed="false">
      <c r="A5" s="6" t="s">
        <v>2</v>
      </c>
      <c r="B5" s="6" t="s">
        <v>49</v>
      </c>
      <c r="C5" s="6" t="s">
        <v>50</v>
      </c>
      <c r="D5" s="6" t="s">
        <v>51</v>
      </c>
    </row>
    <row r="6" customFormat="false" ht="15" hidden="false" customHeight="false" outlineLevel="0" collapsed="false">
      <c r="A6" s="2" t="s">
        <v>12</v>
      </c>
      <c r="B6" s="2" t="n">
        <f aca="false">COUNTIF('Cleaned Data'!C2:C37,A6)</f>
        <v>12</v>
      </c>
      <c r="C6" s="2" t="n">
        <f aca="false">ROUND(AVERAGEIF('Cleaned Data'!C2:C37,A6,'Cleaned Data'!D2:D37),1)</f>
        <v>80.3</v>
      </c>
      <c r="D6" s="2" t="n">
        <f aca="false">ROUND(AVERAGEIF('Cleaned Data'!C2:C37,A6,'Cleaned Data'!F2:F37),2)</f>
        <v>1.08</v>
      </c>
    </row>
    <row r="7" customFormat="false" ht="15" hidden="false" customHeight="false" outlineLevel="0" collapsed="false">
      <c r="A7" s="2" t="s">
        <v>22</v>
      </c>
      <c r="B7" s="2" t="n">
        <f aca="false">COUNTIF('Cleaned Data'!C2:C37,A7)</f>
        <v>12</v>
      </c>
      <c r="C7" s="2" t="n">
        <f aca="false">ROUND(AVERAGEIF('Cleaned Data'!C2:C37,A7,'Cleaned Data'!D2:D37),1)</f>
        <v>99.2</v>
      </c>
      <c r="D7" s="2" t="n">
        <f aca="false">ROUND(AVERAGEIF('Cleaned Data'!C2:C37,A7,'Cleaned Data'!F2:F37),2)</f>
        <v>3.92</v>
      </c>
    </row>
    <row r="8" customFormat="false" ht="15" hidden="false" customHeight="false" outlineLevel="0" collapsed="false">
      <c r="A8" s="2" t="s">
        <v>28</v>
      </c>
      <c r="B8" s="2" t="n">
        <f aca="false">COUNTIF('Cleaned Data'!C2:C37,A8)</f>
        <v>12</v>
      </c>
      <c r="C8" s="2" t="n">
        <f aca="false">ROUND(AVERAGEIF('Cleaned Data'!C2:C37,A8,'Cleaned Data'!D2:D37),1)</f>
        <v>61.5</v>
      </c>
      <c r="D8" s="2" t="n">
        <f aca="false">ROUND(AVERAGEIF('Cleaned Data'!C2:C37,A8,'Cleaned Data'!F2:F37),2)</f>
        <v>0.42</v>
      </c>
    </row>
    <row r="10" customFormat="false" ht="15" hidden="false" customHeight="false" outlineLevel="0" collapsed="false">
      <c r="A10" s="5" t="s">
        <v>52</v>
      </c>
    </row>
    <row r="11" customFormat="false" ht="15" hidden="false" customHeight="false" outlineLevel="0" collapsed="false">
      <c r="A11" s="6" t="s">
        <v>1</v>
      </c>
      <c r="B11" s="6" t="s">
        <v>49</v>
      </c>
      <c r="C11" s="6" t="s">
        <v>50</v>
      </c>
      <c r="D11" s="6" t="s">
        <v>53</v>
      </c>
    </row>
    <row r="12" customFormat="false" ht="15" hidden="false" customHeight="false" outlineLevel="0" collapsed="false">
      <c r="A12" s="2" t="s">
        <v>32</v>
      </c>
      <c r="B12" s="2" t="n">
        <f aca="false">COUNTIF('Cleaned Data'!B2:B37,A12)</f>
        <v>6</v>
      </c>
      <c r="C12" s="2" t="n">
        <f aca="false">ROUND(AVERAGEIF('Cleaned Data'!B2:B37,A12,'Cleaned Data'!D2:D37),1)</f>
        <v>88.5</v>
      </c>
      <c r="D12" s="2" t="n">
        <f aca="false">SUMIF('Cleaned Data'!B2:B37,A12,'Cleaned Data'!E2:E37)</f>
        <v>136</v>
      </c>
    </row>
    <row r="13" customFormat="false" ht="15" hidden="false" customHeight="false" outlineLevel="0" collapsed="false">
      <c r="A13" s="2" t="s">
        <v>17</v>
      </c>
      <c r="B13" s="2" t="n">
        <f aca="false">COUNTIF('Cleaned Data'!B2:B37,A13)</f>
        <v>6</v>
      </c>
      <c r="C13" s="2" t="n">
        <f aca="false">ROUND(AVERAGEIF('Cleaned Data'!B2:B37,A13,'Cleaned Data'!D2:D37),1)</f>
        <v>77</v>
      </c>
      <c r="D13" s="2" t="n">
        <f aca="false">SUMIF('Cleaned Data'!B2:B37,A13,'Cleaned Data'!E2:E37)</f>
        <v>198</v>
      </c>
    </row>
    <row r="14" customFormat="false" ht="15" hidden="false" customHeight="false" outlineLevel="0" collapsed="false">
      <c r="A14" s="2" t="s">
        <v>11</v>
      </c>
      <c r="B14" s="2" t="n">
        <f aca="false">COUNTIF('Cleaned Data'!B2:B37,A14)</f>
        <v>6</v>
      </c>
      <c r="C14" s="2" t="n">
        <f aca="false">ROUND(AVERAGEIF('Cleaned Data'!B2:B37,A14,'Cleaned Data'!D2:D37),1)</f>
        <v>82.3</v>
      </c>
      <c r="D14" s="2" t="n">
        <f aca="false">SUMIF('Cleaned Data'!B2:B37,A14,'Cleaned Data'!E2:E37)</f>
        <v>238</v>
      </c>
    </row>
    <row r="15" customFormat="false" ht="15" hidden="false" customHeight="false" outlineLevel="0" collapsed="false">
      <c r="A15" s="2" t="s">
        <v>21</v>
      </c>
      <c r="B15" s="2" t="n">
        <f aca="false">COUNTIF('Cleaned Data'!B2:B37,A15)</f>
        <v>6</v>
      </c>
      <c r="C15" s="2" t="n">
        <f aca="false">ROUND(AVERAGEIF('Cleaned Data'!B2:B37,A15,'Cleaned Data'!D2:D37),1)</f>
        <v>78.2</v>
      </c>
      <c r="D15" s="2" t="n">
        <f aca="false">SUMIF('Cleaned Data'!B2:B37,A15,'Cleaned Data'!E2:E37)</f>
        <v>236</v>
      </c>
    </row>
    <row r="16" customFormat="false" ht="15" hidden="false" customHeight="false" outlineLevel="0" collapsed="false">
      <c r="A16" s="2" t="s">
        <v>38</v>
      </c>
      <c r="B16" s="2" t="n">
        <f aca="false">COUNTIF('Cleaned Data'!B2:B37,A16)</f>
        <v>6</v>
      </c>
      <c r="C16" s="2" t="n">
        <f aca="false">ROUND(AVERAGEIF('Cleaned Data'!B2:B37,A16,'Cleaned Data'!D2:D37),1)</f>
        <v>82.4</v>
      </c>
      <c r="D16" s="2" t="n">
        <f aca="false">SUMIF('Cleaned Data'!B2:B37,A16,'Cleaned Data'!E2:E37)</f>
        <v>212</v>
      </c>
    </row>
    <row r="17" customFormat="false" ht="15" hidden="false" customHeight="false" outlineLevel="0" collapsed="false">
      <c r="A17" s="2" t="s">
        <v>27</v>
      </c>
      <c r="B17" s="2" t="n">
        <f aca="false">COUNTIF('Cleaned Data'!B2:B37,A17)</f>
        <v>6</v>
      </c>
      <c r="C17" s="2" t="n">
        <f aca="false">ROUND(AVERAGEIF('Cleaned Data'!B2:B37,A17,'Cleaned Data'!D2:D37),1)</f>
        <v>77.2</v>
      </c>
      <c r="D17" s="2" t="n">
        <f aca="false">SUMIF('Cleaned Data'!B2:B37,A17,'Cleaned Data'!E2:E37)</f>
        <v>254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7" t="s">
        <v>54</v>
      </c>
    </row>
    <row r="3" customFormat="false" ht="15" hidden="false" customHeight="false" outlineLevel="0" collapsed="false">
      <c r="A3" s="2" t="s">
        <v>55</v>
      </c>
    </row>
    <row r="4" customFormat="false" ht="15" hidden="false" customHeight="false" outlineLevel="0" collapsed="false">
      <c r="A4" s="2" t="s">
        <v>56</v>
      </c>
    </row>
    <row r="5" customFormat="false" ht="15" hidden="false" customHeight="false" outlineLevel="0" collapsed="false">
      <c r="A5" s="2" t="s">
        <v>57</v>
      </c>
    </row>
    <row r="6" customFormat="false" ht="15" hidden="false" customHeight="false" outlineLevel="0" collapsed="false">
      <c r="A6" s="2" t="s">
        <v>58</v>
      </c>
    </row>
    <row r="7" customFormat="false" ht="15" hidden="false" customHeight="false" outlineLevel="0" collapsed="false">
      <c r="A7" s="2" t="s">
        <v>59</v>
      </c>
    </row>
    <row r="8" customFormat="false" ht="15" hidden="false" customHeight="false" outlineLevel="0" collapsed="false">
      <c r="A8" s="2" t="s">
        <v>60</v>
      </c>
    </row>
    <row r="9" customFormat="false" ht="15" hidden="false" customHeight="false" outlineLevel="0" collapsed="false">
      <c r="A9" s="2" t="s">
        <v>61</v>
      </c>
    </row>
    <row r="10" customFormat="false" ht="15" hidden="false" customHeight="false" outlineLevel="0" collapsed="false">
      <c r="A10" s="2" t="s">
        <v>62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2026-07-04T02:34:48Z</dcterms:created>
  <dc:creator>openpyxl</dc:creator>
  <dc:description/>
  <dc:language>en-IN</dc:language>
  <cp:lastModifiedBy/>
  <dcterms:modified xsi:type="dcterms:W3CDTF">2026-07-04T08:05:09Z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